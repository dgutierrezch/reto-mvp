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gutierrez\Downloads\"/>
    </mc:Choice>
  </mc:AlternateContent>
  <xr:revisionPtr revIDLastSave="0" documentId="13_ncr:1_{BABA75DE-D894-4188-A485-379CF3B8A229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Resumen" sheetId="1" r:id="rId1"/>
    <sheet name="Roadmap" sheetId="2" r:id="rId2"/>
    <sheet name="Backlo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E48" i="3"/>
  <c r="E47" i="3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</calcChain>
</file>

<file path=xl/sharedStrings.xml><?xml version="1.0" encoding="utf-8"?>
<sst xmlns="http://schemas.openxmlformats.org/spreadsheetml/2006/main" count="450" uniqueCount="238">
  <si>
    <t>Plataforma de Eventos Online — Plan de Trabajo y Backlog</t>
  </si>
  <si>
    <t>Metodología</t>
  </si>
  <si>
    <t>Marco de trabajo</t>
  </si>
  <si>
    <t>Scrum</t>
  </si>
  <si>
    <t>Duración de Sprint</t>
  </si>
  <si>
    <t>2 semanas</t>
  </si>
  <si>
    <t>Duración total estimada</t>
  </si>
  <si>
    <t>26 semanas (~6 meses)</t>
  </si>
  <si>
    <t>Número de Sprints</t>
  </si>
  <si>
    <t>13 (Sprint 0 de fundación + Sprints 1 a 12)</t>
  </si>
  <si>
    <t>2026-09-01</t>
  </si>
  <si>
    <t>Equipo del proyecto</t>
  </si>
  <si>
    <t>Rol</t>
  </si>
  <si>
    <t>Cantidad</t>
  </si>
  <si>
    <t>Líder Técnico (LT)</t>
  </si>
  <si>
    <t>Product Owner</t>
  </si>
  <si>
    <t>Scrum Master</t>
  </si>
  <si>
    <t>Backend Developer</t>
  </si>
  <si>
    <t>Frontend Developer</t>
  </si>
  <si>
    <t>FullStack Developer</t>
  </si>
  <si>
    <t>QA Engineer</t>
  </si>
  <si>
    <t>UX Designer</t>
  </si>
  <si>
    <t>UI Designer</t>
  </si>
  <si>
    <t>Áreas de soporte TI (fuera del equipo Scrum)</t>
  </si>
  <si>
    <t>• Arquitectura</t>
  </si>
  <si>
    <t>• Base de Datos (DBA)</t>
  </si>
  <si>
    <t>• Seguridad</t>
  </si>
  <si>
    <t>• Plataforma / Infraestructura</t>
  </si>
  <si>
    <t>Entornos</t>
  </si>
  <si>
    <t>DEV → QA → Staging → Production</t>
  </si>
  <si>
    <t>Sprint</t>
  </si>
  <si>
    <t>Semanas</t>
  </si>
  <si>
    <t>Fecha Inicio</t>
  </si>
  <si>
    <t>Fecha Fin</t>
  </si>
  <si>
    <t>Objetivo del Sprint</t>
  </si>
  <si>
    <t>Entregable Clave</t>
  </si>
  <si>
    <t>Épicas</t>
  </si>
  <si>
    <t>Dependencia de Soporte TI</t>
  </si>
  <si>
    <t>Entorno objetivo</t>
  </si>
  <si>
    <t>Sprint 0</t>
  </si>
  <si>
    <t>1-2</t>
  </si>
  <si>
    <t>Fundación técnica: repos, CI/CD, IaC (Terraform) baseline, aprobación de arquitectura, entornos DEV/QA provisionados, design system y wireframes iniciales.</t>
  </si>
  <si>
    <t>Entornos DEV/QA activos + pipeline CI/CD funcionando</t>
  </si>
  <si>
    <t>E1</t>
  </si>
  <si>
    <t>Arquitectura, Plataforma, Seguridad</t>
  </si>
  <si>
    <t>DEV</t>
  </si>
  <si>
    <t>Sprint 1</t>
  </si>
  <si>
    <t>3-4</t>
  </si>
  <si>
    <t>Autenticación y autorización (OIDC/JWT), scaffold del frontend con login.</t>
  </si>
  <si>
    <t>IdentityService + login funcional</t>
  </si>
  <si>
    <t>E2, E10</t>
  </si>
  <si>
    <t>Seguridad</t>
  </si>
  <si>
    <t>Sprint 2</t>
  </si>
  <si>
    <t>5-6</t>
  </si>
  <si>
    <t>Catálogo de eventos: CRUD de eventos y zonas, modelo de datos, migraciones.</t>
  </si>
  <si>
    <t>EventService CRUD + listado en frontend</t>
  </si>
  <si>
    <t>E3, E10</t>
  </si>
  <si>
    <t>Base de Datos</t>
  </si>
  <si>
    <t>Sprint 3</t>
  </si>
  <si>
    <t>7-8</t>
  </si>
  <si>
    <t>Publicación de eventos y mensajería (EventCreated); búsqueda base con indexación.</t>
  </si>
  <si>
    <t>Publicación de eventos + búsqueda simple</t>
  </si>
  <si>
    <t>E3, E4, E10</t>
  </si>
  <si>
    <t>Arquitectura</t>
  </si>
  <si>
    <t>DEV → QA</t>
  </si>
  <si>
    <t>Sprint 4</t>
  </si>
  <si>
    <t>9-10</t>
  </si>
  <si>
    <t>Búsqueda avanzada (facetas/ranking); modelo de inventario de zonas; backoffice de eventos.</t>
  </si>
  <si>
    <t>Búsqueda avanzada + backoffice CRUD</t>
  </si>
  <si>
    <t>E4, E5, E11</t>
  </si>
  <si>
    <t>QA</t>
  </si>
  <si>
    <t>Sprint 5</t>
  </si>
  <si>
    <t>11-12</t>
  </si>
  <si>
    <t>Holds de inventario con Redis y control de concurrencia; carrito/selección de zonas en frontend.</t>
  </si>
  <si>
    <t>Reserva temporal de zonas sin sobreventa</t>
  </si>
  <si>
    <t>E5, E10</t>
  </si>
  <si>
    <t>Plataforma</t>
  </si>
  <si>
    <t>Sprint 6</t>
  </si>
  <si>
    <t>13-14</t>
  </si>
  <si>
    <t>Orquestación de compra (Saga) e integración con PSP en sandbox; checkout en frontend.</t>
  </si>
  <si>
    <t>Flujo de compra end-to-end (sandbox)</t>
  </si>
  <si>
    <t>E6, E10</t>
  </si>
  <si>
    <t>Seguridad, Arquitectura</t>
  </si>
  <si>
    <t>QA → Staging</t>
  </si>
  <si>
    <t>Sprint 7</t>
  </si>
  <si>
    <t>15-16</t>
  </si>
  <si>
    <t>Compensaciones de la Saga (reembolsos, liberación de stock); pruebas de flujo completo.</t>
  </si>
  <si>
    <t>Saga de compra resiliente a fallos de pago</t>
  </si>
  <si>
    <t>E6</t>
  </si>
  <si>
    <t>Staging</t>
  </si>
  <si>
    <t>Sprint 8</t>
  </si>
  <si>
    <t>17-18</t>
  </si>
  <si>
    <t>Emisión de tickets (QR/Barcode) con almacenamiento en S3; notificaciones multicanal.</t>
  </si>
  <si>
    <t>Ticket digital emitido y enviado por correo</t>
  </si>
  <si>
    <t>E7, E9</t>
  </si>
  <si>
    <t>Sprint 9</t>
  </si>
  <si>
    <t>19-20</t>
  </si>
  <si>
    <t>Validación de ingreso (Check-in) con soporte de modo offline; vista de staff de puerta.</t>
  </si>
  <si>
    <t>Check-in funcional online y offline</t>
  </si>
  <si>
    <t>E8, E11</t>
  </si>
  <si>
    <t>Sprint 10</t>
  </si>
  <si>
    <t>21-22</t>
  </si>
  <si>
    <t>Observabilidad (logs centralizados, tracing, dashboards) y hardening de seguridad.</t>
  </si>
  <si>
    <t>Tablero de monitoreo + hallazgos de seguridad cerrados</t>
  </si>
  <si>
    <t>E12</t>
  </si>
  <si>
    <t>Seguridad, Plataforma</t>
  </si>
  <si>
    <t>Sprint 11</t>
  </si>
  <si>
    <t>23-24</t>
  </si>
  <si>
    <t>Pruebas de carga simulando picos de venta (sala de espera virtual); UAT con stakeholders.</t>
  </si>
  <si>
    <t>Reporte de performance + UAT aprobado</t>
  </si>
  <si>
    <t>E13</t>
  </si>
  <si>
    <t>Plataforma, Arquitectura</t>
  </si>
  <si>
    <t>Sprint 12</t>
  </si>
  <si>
    <t>25-26</t>
  </si>
  <si>
    <t>Despliegue a producción, documentación final, capacitación a soporte, go-live.</t>
  </si>
  <si>
    <t>Sistema en producción (v1)</t>
  </si>
  <si>
    <t>Arquitectura, Plataforma, Seguridad, Base de Datos</t>
  </si>
  <si>
    <t>Production</t>
  </si>
  <si>
    <t>ID</t>
  </si>
  <si>
    <t>Épica</t>
  </si>
  <si>
    <t>Historia de Usuario</t>
  </si>
  <si>
    <t>Prioridad</t>
  </si>
  <si>
    <t>Story Points</t>
  </si>
  <si>
    <t>Rol Principal</t>
  </si>
  <si>
    <t>BL-001</t>
  </si>
  <si>
    <t>E1 - Fundación técnica</t>
  </si>
  <si>
    <t>Como equipo, necesitamos repositorios, ramas y convenciones de código definidas para empezar a desarrollar de forma ordenada.</t>
  </si>
  <si>
    <t>Alta</t>
  </si>
  <si>
    <t>LT</t>
  </si>
  <si>
    <t>BL-002</t>
  </si>
  <si>
    <t>Como equipo, necesitamos un pipeline CI/CD básico (build + test) para cada API antes de escribir la primera línea de negocio.</t>
  </si>
  <si>
    <t>Backend</t>
  </si>
  <si>
    <t>BL-003</t>
  </si>
  <si>
    <t>Como equipo, necesitamos los entornos DEV y QA aprovisionados en AWS (o on-prem) para poder desplegar.</t>
  </si>
  <si>
    <t>BL-004</t>
  </si>
  <si>
    <t>Como Admin, necesito que el diagrama de arquitectura esté aprobado por el área de Arquitectura antes de iniciar desarrollo de dominio.</t>
  </si>
  <si>
    <t>BL-005</t>
  </si>
  <si>
    <t>Como UX/UI, necesito wireframes iniciales del flujo de compra y del backoffice para guiar el desarrollo frontend.</t>
  </si>
  <si>
    <t>Media</t>
  </si>
  <si>
    <t>UX</t>
  </si>
  <si>
    <t>Ninguna</t>
  </si>
  <si>
    <t>BL-006</t>
  </si>
  <si>
    <t>E2 - Identidad y Accesos</t>
  </si>
  <si>
    <t>Como usuario, quiero autenticarme con usuario/contraseña y recibir un JWT para poder acceder a la plataforma.</t>
  </si>
  <si>
    <t>BL-007</t>
  </si>
  <si>
    <t>Como Admin, quiero que los endpoints de escritura validen mi rol para evitar accesos no autorizados.</t>
  </si>
  <si>
    <t>BL-008</t>
  </si>
  <si>
    <t>Como Cliente, quiero ver una pantalla de login funcional en el frontend para iniciar sesión.</t>
  </si>
  <si>
    <t>Frontend</t>
  </si>
  <si>
    <t>BL-009</t>
  </si>
  <si>
    <t>E3 - Catálogo de Eventos</t>
  </si>
  <si>
    <t>Como Organizador, quiero crear un evento con múltiples zonas, precios y capacidad en una sola operación.</t>
  </si>
  <si>
    <t>BL-010</t>
  </si>
  <si>
    <t>Como Cliente, quiero listar los eventos publicados para poder explorarlos.</t>
  </si>
  <si>
    <t>BL-011</t>
  </si>
  <si>
    <t>Como Organizador, quiero ver el detalle de un evento con sus zonas y disponibilidad.</t>
  </si>
  <si>
    <t>BL-012</t>
  </si>
  <si>
    <t>Como Cliente, quiero ver el listado de eventos en una pantalla web atractiva y responsiva.</t>
  </si>
  <si>
    <t>BL-013</t>
  </si>
  <si>
    <t>Como Organizador, quiero publicar un evento en borrador para que sea visible a los clientes.</t>
  </si>
  <si>
    <t>BL-014</t>
  </si>
  <si>
    <t>Como sistema, al publicar un evento debo notificar a otros microservicios de forma asíncrona (evento EventCreated/EventPublished).</t>
  </si>
  <si>
    <t>BL-015</t>
  </si>
  <si>
    <t>E4 - Búsqueda</t>
  </si>
  <si>
    <t>Como Cliente, quiero buscar eventos por nombre, fecha y ubicación con resultados rápidos.</t>
  </si>
  <si>
    <t>BL-016</t>
  </si>
  <si>
    <t>Como Cliente, quiero filtrar la búsqueda por categoría y rango de precio.</t>
  </si>
  <si>
    <t>BL-017</t>
  </si>
  <si>
    <t>Como Cliente, quiero ver los resultados de búsqueda ordenados por relevancia/fecha.</t>
  </si>
  <si>
    <t>BL-018</t>
  </si>
  <si>
    <t>Como Cliente, quiero una barra de búsqueda y filtros visibles en el frontend.</t>
  </si>
  <si>
    <t>BL-019</t>
  </si>
  <si>
    <t>E5 - Inventario de Zonas</t>
  </si>
  <si>
    <t>Como sistema, debo controlar el aforo disponible por zona para evitar sobreventa.</t>
  </si>
  <si>
    <t>BL-020</t>
  </si>
  <si>
    <t>Como Cliente, al iniciar una compra quiero que el sistema reserve temporalmente mi cupo (hold con TTL).</t>
  </si>
  <si>
    <t>BL-021</t>
  </si>
  <si>
    <t>Como sistema, si el hold expira sin completar el pago, debo liberar automáticamente el cupo reservado.</t>
  </si>
  <si>
    <t>BL-022</t>
  </si>
  <si>
    <t>Como Cliente, quiero seleccionar zona y cantidad de tickets desde un carrito simple.</t>
  </si>
  <si>
    <t>BL-023</t>
  </si>
  <si>
    <t>E6 - Órdenes y Pagos</t>
  </si>
  <si>
    <t>Como Cliente, quiero iniciar una orden de compra que orqueste reserva, pago y confirmación.</t>
  </si>
  <si>
    <t>BL-024</t>
  </si>
  <si>
    <t>Como Cliente, quiero pagar con el proveedor de pagos (PSP) en un entorno de pruebas (sandbox).</t>
  </si>
  <si>
    <t>BL-025</t>
  </si>
  <si>
    <t>Como Cliente, quiero completar el checkout desde una interfaz clara con estados de carga y error.</t>
  </si>
  <si>
    <t>BL-026</t>
  </si>
  <si>
    <t>Como sistema, si el pago falla, debo liberar el stock reservado y marcar la orden como fallida (compensación de la Saga).</t>
  </si>
  <si>
    <t>BL-027</t>
  </si>
  <si>
    <t>Como Cliente, quiero solicitar un reembolso de una compra ya confirmada.</t>
  </si>
  <si>
    <t>BL-028</t>
  </si>
  <si>
    <t>E7 - Emisión de Tickets</t>
  </si>
  <si>
    <t>Como Cliente, quiero recibir un ticket digital con código QR/Barcode tras confirmar mi compra.</t>
  </si>
  <si>
    <t>BL-029</t>
  </si>
  <si>
    <t>Como Cliente, quiero descargar o ver mi ticket desde la plataforma en cualquier momento.</t>
  </si>
  <si>
    <t>BL-030</t>
  </si>
  <si>
    <t>E9 - Notificaciones</t>
  </si>
  <si>
    <t>Como Cliente, quiero recibir un correo de confirmación cuando mi compra se procese correctamente.</t>
  </si>
  <si>
    <t>BL-031</t>
  </si>
  <si>
    <t>Como sistema, debo evitar procesar el mismo mensaje de notificación dos veces (idempotencia por messageId).</t>
  </si>
  <si>
    <t>BL-032</t>
  </si>
  <si>
    <t>Como sistema, si el envío de una notificación falla repetidamente, debo moverla a una cola de errores (DLQ) para revisión manual.</t>
  </si>
  <si>
    <t>BL-033</t>
  </si>
  <si>
    <t>E8 - Check-in</t>
  </si>
  <si>
    <t>Como Staff de puerta, quiero escanear el QR de un ticket y validar el ingreso en tiempo real.</t>
  </si>
  <si>
    <t>BL-034</t>
  </si>
  <si>
    <t>Como Staff de puerta, quiero poder validar ingresos aunque no tenga conexión a internet, sincronizando después.</t>
  </si>
  <si>
    <t>FullStack</t>
  </si>
  <si>
    <t>BL-035</t>
  </si>
  <si>
    <t>Como Admin, quiero ver en tiempo real cuántos asistentes ya ingresaron por zona.</t>
  </si>
  <si>
    <t>Baja</t>
  </si>
  <si>
    <t>BL-036</t>
  </si>
  <si>
    <t>E11 - Backoffice</t>
  </si>
  <si>
    <t>Como Admin, quiero gestionar catálogos (categorías, ciudades) desde un panel de administración.</t>
  </si>
  <si>
    <t>BL-037</t>
  </si>
  <si>
    <t>Como Organizador, quiero ver un dashboard con las ventas de mis eventos.</t>
  </si>
  <si>
    <t>BL-038</t>
  </si>
  <si>
    <t>E12 - Observabilidad y Seguridad</t>
  </si>
  <si>
    <t>Como equipo de operaciones, quiero logs centralizados con correlationId para poder trazar una transacción entre servicios.</t>
  </si>
  <si>
    <t>BL-039</t>
  </si>
  <si>
    <t>Como equipo de seguridad, quiero un rate limiting global aplicado en el API Gateway para mitigar abuso.</t>
  </si>
  <si>
    <t>BL-040</t>
  </si>
  <si>
    <t>Como equipo de seguridad, quiero que se ejecute una revisión de vulnerabilidades (pentest interno) antes de pasar a Staging.</t>
  </si>
  <si>
    <t>BL-041</t>
  </si>
  <si>
    <t>E13 - QA, Performance y Lanzamiento</t>
  </si>
  <si>
    <t>Como equipo, quiero simular un pico de venta (flash sale) para validar que el sistema no sobrevende ni se cae.</t>
  </si>
  <si>
    <t>BL-042</t>
  </si>
  <si>
    <t>Como Product Owner, quiero una sesión de UAT con stakeholders antes del despliegue a producción.</t>
  </si>
  <si>
    <t>BL-043</t>
  </si>
  <si>
    <t>Como equipo, quiero desplegar la primera versión a producción siguiendo un runbook validado.</t>
  </si>
  <si>
    <t>Arquitectura, Plataforma</t>
  </si>
  <si>
    <t>BL-044</t>
  </si>
  <si>
    <t>Como equipo de soporte, quiero documentación funcional y técnica completa para poder operar el sistema tras el lanzamiento.</t>
  </si>
  <si>
    <t>Total Story Points</t>
  </si>
  <si>
    <t>Historias de Alta prioridad</t>
  </si>
  <si>
    <t>Fecha de inicio del proyecto</t>
  </si>
  <si>
    <t>Total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</si>
</sst>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66666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D9EAD3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2" borderId="0" xfId="0" applyNumberFormat="1" applyFont="1" applyFill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6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165" fontId="3" fillId="4" borderId="1" xfId="0" applyNumberFormat="1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showGridLines="0" zoomScaleNormal="100" workbookViewId="0">
      <selection activeCell="E15" sqref="E15"/>
    </sheetView>
  </sheetViews>
  <sheetFormatPr baseColWidth="10" defaultColWidth="8.7109375" defaultRowHeight="15" x14ac:dyDescent="0.25"/>
  <cols>
    <col min="1" max="1" width="32" customWidth="1"/>
    <col min="2" max="2" width="50" customWidth="1"/>
  </cols>
  <sheetData>
    <row r="1" spans="1:2" ht="20.25" x14ac:dyDescent="0.3">
      <c r="A1" s="1" t="s">
        <v>0</v>
      </c>
      <c r="B1" s="1"/>
    </row>
    <row r="3" spans="1:2" x14ac:dyDescent="0.25">
      <c r="A3" s="2" t="s">
        <v>1</v>
      </c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7</v>
      </c>
    </row>
    <row r="7" spans="1:2" x14ac:dyDescent="0.25">
      <c r="A7" s="3" t="s">
        <v>8</v>
      </c>
      <c r="B7" s="3" t="s">
        <v>9</v>
      </c>
    </row>
    <row r="9" spans="1:2" x14ac:dyDescent="0.25">
      <c r="A9" s="4" t="s">
        <v>236</v>
      </c>
      <c r="B9" s="5" t="s">
        <v>10</v>
      </c>
    </row>
    <row r="11" spans="1:2" x14ac:dyDescent="0.25">
      <c r="A11" s="2" t="s">
        <v>11</v>
      </c>
    </row>
    <row r="12" spans="1:2" x14ac:dyDescent="0.25">
      <c r="A12" s="6" t="s">
        <v>12</v>
      </c>
      <c r="B12" s="6" t="s">
        <v>13</v>
      </c>
    </row>
    <row r="13" spans="1:2" x14ac:dyDescent="0.25">
      <c r="A13" s="3" t="s">
        <v>14</v>
      </c>
      <c r="B13" s="3">
        <v>1</v>
      </c>
    </row>
    <row r="14" spans="1:2" x14ac:dyDescent="0.25">
      <c r="A14" s="3" t="s">
        <v>15</v>
      </c>
      <c r="B14" s="3">
        <v>1</v>
      </c>
    </row>
    <row r="15" spans="1:2" x14ac:dyDescent="0.25">
      <c r="A15" s="3" t="s">
        <v>16</v>
      </c>
      <c r="B15" s="3">
        <v>1</v>
      </c>
    </row>
    <row r="16" spans="1:2" x14ac:dyDescent="0.25">
      <c r="A16" s="3" t="s">
        <v>17</v>
      </c>
      <c r="B16" s="3">
        <v>2</v>
      </c>
    </row>
    <row r="17" spans="1:2" x14ac:dyDescent="0.25">
      <c r="A17" s="3" t="s">
        <v>18</v>
      </c>
      <c r="B17" s="3">
        <v>2</v>
      </c>
    </row>
    <row r="18" spans="1:2" x14ac:dyDescent="0.25">
      <c r="A18" s="3" t="s">
        <v>19</v>
      </c>
      <c r="B18" s="3">
        <v>1</v>
      </c>
    </row>
    <row r="19" spans="1:2" x14ac:dyDescent="0.25">
      <c r="A19" s="3" t="s">
        <v>20</v>
      </c>
      <c r="B19" s="3">
        <v>2</v>
      </c>
    </row>
    <row r="20" spans="1:2" x14ac:dyDescent="0.25">
      <c r="A20" s="3" t="s">
        <v>21</v>
      </c>
      <c r="B20" s="3">
        <v>1</v>
      </c>
    </row>
    <row r="21" spans="1:2" x14ac:dyDescent="0.25">
      <c r="A21" s="3" t="s">
        <v>22</v>
      </c>
      <c r="B21" s="3">
        <v>1</v>
      </c>
    </row>
    <row r="22" spans="1:2" x14ac:dyDescent="0.25">
      <c r="A22" s="4" t="s">
        <v>237</v>
      </c>
      <c r="B22" s="7">
        <f>SUM(B13:B21)</f>
        <v>12</v>
      </c>
    </row>
    <row r="24" spans="1:2" x14ac:dyDescent="0.25">
      <c r="A24" s="2" t="s">
        <v>23</v>
      </c>
    </row>
    <row r="25" spans="1:2" x14ac:dyDescent="0.25">
      <c r="A25" s="3" t="s">
        <v>24</v>
      </c>
    </row>
    <row r="26" spans="1:2" x14ac:dyDescent="0.25">
      <c r="A26" s="3" t="s">
        <v>25</v>
      </c>
    </row>
    <row r="27" spans="1:2" x14ac:dyDescent="0.25">
      <c r="A27" s="3" t="s">
        <v>26</v>
      </c>
    </row>
    <row r="28" spans="1:2" x14ac:dyDescent="0.25">
      <c r="A28" s="3" t="s">
        <v>27</v>
      </c>
    </row>
    <row r="30" spans="1:2" x14ac:dyDescent="0.25">
      <c r="A30" s="2" t="s">
        <v>28</v>
      </c>
    </row>
    <row r="31" spans="1:2" x14ac:dyDescent="0.25">
      <c r="A31" s="3" t="s">
        <v>29</v>
      </c>
    </row>
    <row r="32" spans="1:2" x14ac:dyDescent="0.25">
      <c r="A32" s="8"/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showGridLines="0" zoomScaleNormal="100" workbookViewId="0">
      <pane ySplit="1" topLeftCell="A2" activePane="bottomLeft" state="frozen"/>
      <selection pane="bottomLeft" activeCell="D2" sqref="D2"/>
    </sheetView>
  </sheetViews>
  <sheetFormatPr baseColWidth="10" defaultColWidth="8.7109375" defaultRowHeight="15" x14ac:dyDescent="0.25"/>
  <cols>
    <col min="1" max="1" width="10" customWidth="1"/>
    <col min="2" max="2" width="12" customWidth="1"/>
    <col min="3" max="4" width="13" customWidth="1"/>
    <col min="5" max="5" width="42" customWidth="1"/>
    <col min="6" max="6" width="38" customWidth="1"/>
    <col min="7" max="7" width="14" customWidth="1"/>
    <col min="8" max="8" width="30" customWidth="1"/>
    <col min="9" max="9" width="16" customWidth="1"/>
  </cols>
  <sheetData>
    <row r="1" spans="1:9" ht="30" customHeight="1" x14ac:dyDescent="0.25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</row>
    <row r="2" spans="1:9" ht="51" x14ac:dyDescent="0.25">
      <c r="A2" s="10" t="s">
        <v>39</v>
      </c>
      <c r="B2" s="10" t="s">
        <v>40</v>
      </c>
      <c r="C2" s="11">
        <f>Resumen!$B$9+(1-1)*7</f>
        <v>46266</v>
      </c>
      <c r="D2" s="11">
        <f t="shared" ref="D2:D14" si="0">C2+13</f>
        <v>46279</v>
      </c>
      <c r="E2" s="10" t="s">
        <v>41</v>
      </c>
      <c r="F2" s="10" t="s">
        <v>42</v>
      </c>
      <c r="G2" s="10" t="s">
        <v>43</v>
      </c>
      <c r="H2" s="10" t="s">
        <v>44</v>
      </c>
      <c r="I2" s="10" t="s">
        <v>45</v>
      </c>
    </row>
    <row r="3" spans="1:9" ht="25.5" x14ac:dyDescent="0.25">
      <c r="A3" s="12" t="s">
        <v>46</v>
      </c>
      <c r="B3" s="12" t="s">
        <v>47</v>
      </c>
      <c r="C3" s="13">
        <f>Resumen!$B$9+(3-1)*7</f>
        <v>46280</v>
      </c>
      <c r="D3" s="13">
        <f t="shared" si="0"/>
        <v>46293</v>
      </c>
      <c r="E3" s="12" t="s">
        <v>48</v>
      </c>
      <c r="F3" s="12" t="s">
        <v>49</v>
      </c>
      <c r="G3" s="12" t="s">
        <v>50</v>
      </c>
      <c r="H3" s="12" t="s">
        <v>51</v>
      </c>
      <c r="I3" s="12" t="s">
        <v>45</v>
      </c>
    </row>
    <row r="4" spans="1:9" ht="25.5" x14ac:dyDescent="0.25">
      <c r="A4" s="12" t="s">
        <v>52</v>
      </c>
      <c r="B4" s="12" t="s">
        <v>53</v>
      </c>
      <c r="C4" s="13">
        <f>Resumen!$B$9+(5-1)*7</f>
        <v>46294</v>
      </c>
      <c r="D4" s="13">
        <f t="shared" si="0"/>
        <v>46307</v>
      </c>
      <c r="E4" s="12" t="s">
        <v>54</v>
      </c>
      <c r="F4" s="12" t="s">
        <v>55</v>
      </c>
      <c r="G4" s="12" t="s">
        <v>56</v>
      </c>
      <c r="H4" s="12" t="s">
        <v>57</v>
      </c>
      <c r="I4" s="12" t="s">
        <v>45</v>
      </c>
    </row>
    <row r="5" spans="1:9" ht="25.5" x14ac:dyDescent="0.25">
      <c r="A5" s="12" t="s">
        <v>58</v>
      </c>
      <c r="B5" s="12" t="s">
        <v>59</v>
      </c>
      <c r="C5" s="13">
        <f>Resumen!$B$9+(7-1)*7</f>
        <v>46308</v>
      </c>
      <c r="D5" s="13">
        <f t="shared" si="0"/>
        <v>46321</v>
      </c>
      <c r="E5" s="12" t="s">
        <v>60</v>
      </c>
      <c r="F5" s="12" t="s">
        <v>61</v>
      </c>
      <c r="G5" s="12" t="s">
        <v>62</v>
      </c>
      <c r="H5" s="12" t="s">
        <v>63</v>
      </c>
      <c r="I5" s="12" t="s">
        <v>64</v>
      </c>
    </row>
    <row r="6" spans="1:9" ht="25.5" x14ac:dyDescent="0.25">
      <c r="A6" s="12" t="s">
        <v>65</v>
      </c>
      <c r="B6" s="12" t="s">
        <v>66</v>
      </c>
      <c r="C6" s="13">
        <f>Resumen!$B$9+(9-1)*7</f>
        <v>46322</v>
      </c>
      <c r="D6" s="13">
        <f t="shared" si="0"/>
        <v>46335</v>
      </c>
      <c r="E6" s="12" t="s">
        <v>67</v>
      </c>
      <c r="F6" s="12" t="s">
        <v>68</v>
      </c>
      <c r="G6" s="12" t="s">
        <v>69</v>
      </c>
      <c r="H6" s="12" t="s">
        <v>57</v>
      </c>
      <c r="I6" s="12" t="s">
        <v>70</v>
      </c>
    </row>
    <row r="7" spans="1:9" ht="38.25" x14ac:dyDescent="0.25">
      <c r="A7" s="12" t="s">
        <v>71</v>
      </c>
      <c r="B7" s="12" t="s">
        <v>72</v>
      </c>
      <c r="C7" s="13">
        <f>Resumen!$B$9+(11-1)*7</f>
        <v>46336</v>
      </c>
      <c r="D7" s="13">
        <f t="shared" si="0"/>
        <v>46349</v>
      </c>
      <c r="E7" s="12" t="s">
        <v>73</v>
      </c>
      <c r="F7" s="12" t="s">
        <v>74</v>
      </c>
      <c r="G7" s="12" t="s">
        <v>75</v>
      </c>
      <c r="H7" s="12" t="s">
        <v>76</v>
      </c>
      <c r="I7" s="12" t="s">
        <v>70</v>
      </c>
    </row>
    <row r="8" spans="1:9" ht="25.5" x14ac:dyDescent="0.25">
      <c r="A8" s="12" t="s">
        <v>77</v>
      </c>
      <c r="B8" s="12" t="s">
        <v>78</v>
      </c>
      <c r="C8" s="13">
        <f>Resumen!$B$9+(13-1)*7</f>
        <v>46350</v>
      </c>
      <c r="D8" s="13">
        <f t="shared" si="0"/>
        <v>46363</v>
      </c>
      <c r="E8" s="12" t="s">
        <v>79</v>
      </c>
      <c r="F8" s="12" t="s">
        <v>80</v>
      </c>
      <c r="G8" s="12" t="s">
        <v>81</v>
      </c>
      <c r="H8" s="12" t="s">
        <v>82</v>
      </c>
      <c r="I8" s="12" t="s">
        <v>83</v>
      </c>
    </row>
    <row r="9" spans="1:9" ht="25.5" x14ac:dyDescent="0.25">
      <c r="A9" s="12" t="s">
        <v>84</v>
      </c>
      <c r="B9" s="12" t="s">
        <v>85</v>
      </c>
      <c r="C9" s="13">
        <f>Resumen!$B$9+(15-1)*7</f>
        <v>46364</v>
      </c>
      <c r="D9" s="13">
        <f t="shared" si="0"/>
        <v>46377</v>
      </c>
      <c r="E9" s="12" t="s">
        <v>86</v>
      </c>
      <c r="F9" s="12" t="s">
        <v>87</v>
      </c>
      <c r="G9" s="12" t="s">
        <v>88</v>
      </c>
      <c r="H9" s="12" t="s">
        <v>63</v>
      </c>
      <c r="I9" s="12" t="s">
        <v>89</v>
      </c>
    </row>
    <row r="10" spans="1:9" ht="38.25" x14ac:dyDescent="0.25">
      <c r="A10" s="12" t="s">
        <v>90</v>
      </c>
      <c r="B10" s="12" t="s">
        <v>91</v>
      </c>
      <c r="C10" s="13">
        <f>Resumen!$B$9+(17-1)*7</f>
        <v>46378</v>
      </c>
      <c r="D10" s="13">
        <f t="shared" si="0"/>
        <v>46391</v>
      </c>
      <c r="E10" s="12" t="s">
        <v>92</v>
      </c>
      <c r="F10" s="12" t="s">
        <v>93</v>
      </c>
      <c r="G10" s="12" t="s">
        <v>94</v>
      </c>
      <c r="H10" s="12" t="s">
        <v>76</v>
      </c>
      <c r="I10" s="12" t="s">
        <v>89</v>
      </c>
    </row>
    <row r="11" spans="1:9" ht="25.5" x14ac:dyDescent="0.25">
      <c r="A11" s="12" t="s">
        <v>95</v>
      </c>
      <c r="B11" s="12" t="s">
        <v>96</v>
      </c>
      <c r="C11" s="13">
        <f>Resumen!$B$9+(19-1)*7</f>
        <v>46392</v>
      </c>
      <c r="D11" s="13">
        <f t="shared" si="0"/>
        <v>46405</v>
      </c>
      <c r="E11" s="12" t="s">
        <v>97</v>
      </c>
      <c r="F11" s="12" t="s">
        <v>98</v>
      </c>
      <c r="G11" s="12" t="s">
        <v>99</v>
      </c>
      <c r="H11" s="12" t="s">
        <v>76</v>
      </c>
      <c r="I11" s="12" t="s">
        <v>89</v>
      </c>
    </row>
    <row r="12" spans="1:9" ht="25.5" x14ac:dyDescent="0.25">
      <c r="A12" s="12" t="s">
        <v>100</v>
      </c>
      <c r="B12" s="12" t="s">
        <v>101</v>
      </c>
      <c r="C12" s="13">
        <f>Resumen!$B$9+(21-1)*7</f>
        <v>46406</v>
      </c>
      <c r="D12" s="13">
        <f t="shared" si="0"/>
        <v>46419</v>
      </c>
      <c r="E12" s="12" t="s">
        <v>102</v>
      </c>
      <c r="F12" s="12" t="s">
        <v>103</v>
      </c>
      <c r="G12" s="12" t="s">
        <v>104</v>
      </c>
      <c r="H12" s="12" t="s">
        <v>105</v>
      </c>
      <c r="I12" s="12" t="s">
        <v>89</v>
      </c>
    </row>
    <row r="13" spans="1:9" ht="25.5" x14ac:dyDescent="0.25">
      <c r="A13" s="12" t="s">
        <v>106</v>
      </c>
      <c r="B13" s="12" t="s">
        <v>107</v>
      </c>
      <c r="C13" s="13">
        <f>Resumen!$B$9+(23-1)*7</f>
        <v>46420</v>
      </c>
      <c r="D13" s="13">
        <f t="shared" si="0"/>
        <v>46433</v>
      </c>
      <c r="E13" s="12" t="s">
        <v>108</v>
      </c>
      <c r="F13" s="12" t="s">
        <v>109</v>
      </c>
      <c r="G13" s="12" t="s">
        <v>110</v>
      </c>
      <c r="H13" s="12" t="s">
        <v>111</v>
      </c>
      <c r="I13" s="12" t="s">
        <v>89</v>
      </c>
    </row>
    <row r="14" spans="1:9" ht="25.5" x14ac:dyDescent="0.25">
      <c r="A14" s="12" t="s">
        <v>112</v>
      </c>
      <c r="B14" s="12" t="s">
        <v>113</v>
      </c>
      <c r="C14" s="13">
        <f>Resumen!$B$9+(25-1)*7</f>
        <v>46434</v>
      </c>
      <c r="D14" s="13">
        <f t="shared" si="0"/>
        <v>46447</v>
      </c>
      <c r="E14" s="12" t="s">
        <v>114</v>
      </c>
      <c r="F14" s="12" t="s">
        <v>115</v>
      </c>
      <c r="G14" s="12" t="s">
        <v>110</v>
      </c>
      <c r="H14" s="12" t="s">
        <v>116</v>
      </c>
      <c r="I14" s="12" t="s">
        <v>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tabSelected="1" zoomScaleNormal="100" workbookViewId="0">
      <pane ySplit="1" topLeftCell="A2" activePane="bottomLeft" state="frozen"/>
      <selection pane="bottomLeft" activeCell="C47" sqref="C47"/>
    </sheetView>
  </sheetViews>
  <sheetFormatPr baseColWidth="10" defaultColWidth="8.7109375" defaultRowHeight="15" x14ac:dyDescent="0.25"/>
  <cols>
    <col min="1" max="1" width="8" customWidth="1"/>
    <col min="2" max="2" width="30" customWidth="1"/>
    <col min="3" max="3" width="55" customWidth="1"/>
    <col min="4" max="5" width="10" customWidth="1"/>
    <col min="6" max="6" width="18" customWidth="1"/>
    <col min="7" max="7" width="10" customWidth="1"/>
    <col min="8" max="8" width="26" customWidth="1"/>
  </cols>
  <sheetData>
    <row r="1" spans="1:8" ht="25.5" customHeight="1" x14ac:dyDescent="0.25">
      <c r="A1" s="9" t="s">
        <v>118</v>
      </c>
      <c r="B1" s="9" t="s">
        <v>119</v>
      </c>
      <c r="C1" s="9" t="s">
        <v>120</v>
      </c>
      <c r="D1" s="9" t="s">
        <v>121</v>
      </c>
      <c r="E1" s="9" t="s">
        <v>122</v>
      </c>
      <c r="F1" s="9" t="s">
        <v>123</v>
      </c>
      <c r="G1" s="9" t="s">
        <v>30</v>
      </c>
      <c r="H1" s="9" t="s">
        <v>37</v>
      </c>
    </row>
    <row r="2" spans="1:8" ht="38.25" x14ac:dyDescent="0.25">
      <c r="A2" s="12" t="s">
        <v>124</v>
      </c>
      <c r="B2" s="12" t="s">
        <v>125</v>
      </c>
      <c r="C2" s="12" t="s">
        <v>126</v>
      </c>
      <c r="D2" s="14" t="s">
        <v>127</v>
      </c>
      <c r="E2" s="12">
        <v>3</v>
      </c>
      <c r="F2" s="12" t="s">
        <v>128</v>
      </c>
      <c r="G2" s="12" t="s">
        <v>39</v>
      </c>
      <c r="H2" s="12" t="s">
        <v>63</v>
      </c>
    </row>
    <row r="3" spans="1:8" ht="38.25" x14ac:dyDescent="0.25">
      <c r="A3" s="12" t="s">
        <v>129</v>
      </c>
      <c r="B3" s="12" t="s">
        <v>125</v>
      </c>
      <c r="C3" s="12" t="s">
        <v>130</v>
      </c>
      <c r="D3" s="14" t="s">
        <v>127</v>
      </c>
      <c r="E3" s="12">
        <v>5</v>
      </c>
      <c r="F3" s="12" t="s">
        <v>131</v>
      </c>
      <c r="G3" s="12" t="s">
        <v>39</v>
      </c>
      <c r="H3" s="12" t="s">
        <v>76</v>
      </c>
    </row>
    <row r="4" spans="1:8" ht="25.5" x14ac:dyDescent="0.25">
      <c r="A4" s="12" t="s">
        <v>132</v>
      </c>
      <c r="B4" s="12" t="s">
        <v>125</v>
      </c>
      <c r="C4" s="12" t="s">
        <v>133</v>
      </c>
      <c r="D4" s="14" t="s">
        <v>127</v>
      </c>
      <c r="E4" s="12">
        <v>8</v>
      </c>
      <c r="F4" s="12" t="s">
        <v>128</v>
      </c>
      <c r="G4" s="12" t="s">
        <v>39</v>
      </c>
      <c r="H4" s="12" t="s">
        <v>76</v>
      </c>
    </row>
    <row r="5" spans="1:8" ht="38.25" x14ac:dyDescent="0.25">
      <c r="A5" s="12" t="s">
        <v>134</v>
      </c>
      <c r="B5" s="12" t="s">
        <v>125</v>
      </c>
      <c r="C5" s="12" t="s">
        <v>135</v>
      </c>
      <c r="D5" s="14" t="s">
        <v>127</v>
      </c>
      <c r="E5" s="12">
        <v>3</v>
      </c>
      <c r="F5" s="12" t="s">
        <v>128</v>
      </c>
      <c r="G5" s="12" t="s">
        <v>39</v>
      </c>
      <c r="H5" s="12" t="s">
        <v>63</v>
      </c>
    </row>
    <row r="6" spans="1:8" ht="25.5" x14ac:dyDescent="0.25">
      <c r="A6" s="12" t="s">
        <v>136</v>
      </c>
      <c r="B6" s="12" t="s">
        <v>125</v>
      </c>
      <c r="C6" s="12" t="s">
        <v>137</v>
      </c>
      <c r="D6" s="15" t="s">
        <v>138</v>
      </c>
      <c r="E6" s="12">
        <v>5</v>
      </c>
      <c r="F6" s="12" t="s">
        <v>139</v>
      </c>
      <c r="G6" s="12" t="s">
        <v>39</v>
      </c>
      <c r="H6" s="12" t="s">
        <v>140</v>
      </c>
    </row>
    <row r="7" spans="1:8" ht="25.5" x14ac:dyDescent="0.25">
      <c r="A7" s="12" t="s">
        <v>141</v>
      </c>
      <c r="B7" s="12" t="s">
        <v>142</v>
      </c>
      <c r="C7" s="12" t="s">
        <v>143</v>
      </c>
      <c r="D7" s="14" t="s">
        <v>127</v>
      </c>
      <c r="E7" s="12">
        <v>8</v>
      </c>
      <c r="F7" s="12" t="s">
        <v>131</v>
      </c>
      <c r="G7" s="12" t="s">
        <v>46</v>
      </c>
      <c r="H7" s="12" t="s">
        <v>51</v>
      </c>
    </row>
    <row r="8" spans="1:8" ht="25.5" x14ac:dyDescent="0.25">
      <c r="A8" s="12" t="s">
        <v>144</v>
      </c>
      <c r="B8" s="12" t="s">
        <v>142</v>
      </c>
      <c r="C8" s="12" t="s">
        <v>145</v>
      </c>
      <c r="D8" s="14" t="s">
        <v>127</v>
      </c>
      <c r="E8" s="12">
        <v>5</v>
      </c>
      <c r="F8" s="12" t="s">
        <v>131</v>
      </c>
      <c r="G8" s="12" t="s">
        <v>46</v>
      </c>
      <c r="H8" s="12" t="s">
        <v>51</v>
      </c>
    </row>
    <row r="9" spans="1:8" ht="25.5" x14ac:dyDescent="0.25">
      <c r="A9" s="12" t="s">
        <v>146</v>
      </c>
      <c r="B9" s="12" t="s">
        <v>142</v>
      </c>
      <c r="C9" s="12" t="s">
        <v>147</v>
      </c>
      <c r="D9" s="14" t="s">
        <v>127</v>
      </c>
      <c r="E9" s="12">
        <v>5</v>
      </c>
      <c r="F9" s="12" t="s">
        <v>148</v>
      </c>
      <c r="G9" s="12" t="s">
        <v>46</v>
      </c>
      <c r="H9" s="12" t="s">
        <v>140</v>
      </c>
    </row>
    <row r="10" spans="1:8" ht="25.5" x14ac:dyDescent="0.25">
      <c r="A10" s="12" t="s">
        <v>149</v>
      </c>
      <c r="B10" s="12" t="s">
        <v>150</v>
      </c>
      <c r="C10" s="12" t="s">
        <v>151</v>
      </c>
      <c r="D10" s="14" t="s">
        <v>127</v>
      </c>
      <c r="E10" s="12">
        <v>8</v>
      </c>
      <c r="F10" s="12" t="s">
        <v>131</v>
      </c>
      <c r="G10" s="12" t="s">
        <v>52</v>
      </c>
      <c r="H10" s="12" t="s">
        <v>57</v>
      </c>
    </row>
    <row r="11" spans="1:8" ht="25.5" x14ac:dyDescent="0.25">
      <c r="A11" s="12" t="s">
        <v>152</v>
      </c>
      <c r="B11" s="12" t="s">
        <v>150</v>
      </c>
      <c r="C11" s="12" t="s">
        <v>153</v>
      </c>
      <c r="D11" s="14" t="s">
        <v>127</v>
      </c>
      <c r="E11" s="12">
        <v>5</v>
      </c>
      <c r="F11" s="12" t="s">
        <v>131</v>
      </c>
      <c r="G11" s="12" t="s">
        <v>52</v>
      </c>
      <c r="H11" s="12" t="s">
        <v>140</v>
      </c>
    </row>
    <row r="12" spans="1:8" ht="25.5" x14ac:dyDescent="0.25">
      <c r="A12" s="12" t="s">
        <v>154</v>
      </c>
      <c r="B12" s="12" t="s">
        <v>150</v>
      </c>
      <c r="C12" s="12" t="s">
        <v>155</v>
      </c>
      <c r="D12" s="15" t="s">
        <v>138</v>
      </c>
      <c r="E12" s="12">
        <v>3</v>
      </c>
      <c r="F12" s="12" t="s">
        <v>131</v>
      </c>
      <c r="G12" s="12" t="s">
        <v>52</v>
      </c>
      <c r="H12" s="12" t="s">
        <v>140</v>
      </c>
    </row>
    <row r="13" spans="1:8" ht="25.5" x14ac:dyDescent="0.25">
      <c r="A13" s="12" t="s">
        <v>156</v>
      </c>
      <c r="B13" s="12" t="s">
        <v>150</v>
      </c>
      <c r="C13" s="12" t="s">
        <v>157</v>
      </c>
      <c r="D13" s="14" t="s">
        <v>127</v>
      </c>
      <c r="E13" s="12">
        <v>8</v>
      </c>
      <c r="F13" s="12" t="s">
        <v>148</v>
      </c>
      <c r="G13" s="12" t="s">
        <v>52</v>
      </c>
      <c r="H13" s="12" t="s">
        <v>140</v>
      </c>
    </row>
    <row r="14" spans="1:8" ht="25.5" x14ac:dyDescent="0.25">
      <c r="A14" s="12" t="s">
        <v>158</v>
      </c>
      <c r="B14" s="12" t="s">
        <v>150</v>
      </c>
      <c r="C14" s="12" t="s">
        <v>159</v>
      </c>
      <c r="D14" s="14" t="s">
        <v>127</v>
      </c>
      <c r="E14" s="12">
        <v>5</v>
      </c>
      <c r="F14" s="12" t="s">
        <v>131</v>
      </c>
      <c r="G14" s="12" t="s">
        <v>58</v>
      </c>
      <c r="H14" s="12" t="s">
        <v>140</v>
      </c>
    </row>
    <row r="15" spans="1:8" ht="38.25" x14ac:dyDescent="0.25">
      <c r="A15" s="12" t="s">
        <v>160</v>
      </c>
      <c r="B15" s="12" t="s">
        <v>150</v>
      </c>
      <c r="C15" s="12" t="s">
        <v>161</v>
      </c>
      <c r="D15" s="14" t="s">
        <v>127</v>
      </c>
      <c r="E15" s="12">
        <v>5</v>
      </c>
      <c r="F15" s="12" t="s">
        <v>131</v>
      </c>
      <c r="G15" s="12" t="s">
        <v>58</v>
      </c>
      <c r="H15" s="12" t="s">
        <v>63</v>
      </c>
    </row>
    <row r="16" spans="1:8" ht="25.5" x14ac:dyDescent="0.25">
      <c r="A16" s="12" t="s">
        <v>162</v>
      </c>
      <c r="B16" s="12" t="s">
        <v>163</v>
      </c>
      <c r="C16" s="12" t="s">
        <v>164</v>
      </c>
      <c r="D16" s="14" t="s">
        <v>127</v>
      </c>
      <c r="E16" s="12">
        <v>8</v>
      </c>
      <c r="F16" s="12" t="s">
        <v>131</v>
      </c>
      <c r="G16" s="12" t="s">
        <v>58</v>
      </c>
      <c r="H16" s="12" t="s">
        <v>63</v>
      </c>
    </row>
    <row r="17" spans="1:8" ht="25.5" x14ac:dyDescent="0.25">
      <c r="A17" s="12" t="s">
        <v>165</v>
      </c>
      <c r="B17" s="12" t="s">
        <v>163</v>
      </c>
      <c r="C17" s="12" t="s">
        <v>166</v>
      </c>
      <c r="D17" s="15" t="s">
        <v>138</v>
      </c>
      <c r="E17" s="12">
        <v>5</v>
      </c>
      <c r="F17" s="12" t="s">
        <v>131</v>
      </c>
      <c r="G17" s="12" t="s">
        <v>65</v>
      </c>
      <c r="H17" s="12" t="s">
        <v>140</v>
      </c>
    </row>
    <row r="18" spans="1:8" ht="25.5" x14ac:dyDescent="0.25">
      <c r="A18" s="12" t="s">
        <v>167</v>
      </c>
      <c r="B18" s="12" t="s">
        <v>163</v>
      </c>
      <c r="C18" s="12" t="s">
        <v>168</v>
      </c>
      <c r="D18" s="15" t="s">
        <v>138</v>
      </c>
      <c r="E18" s="12">
        <v>3</v>
      </c>
      <c r="F18" s="12" t="s">
        <v>131</v>
      </c>
      <c r="G18" s="12" t="s">
        <v>65</v>
      </c>
      <c r="H18" s="12" t="s">
        <v>140</v>
      </c>
    </row>
    <row r="19" spans="1:8" ht="25.5" x14ac:dyDescent="0.25">
      <c r="A19" s="12" t="s">
        <v>169</v>
      </c>
      <c r="B19" s="12" t="s">
        <v>163</v>
      </c>
      <c r="C19" s="12" t="s">
        <v>170</v>
      </c>
      <c r="D19" s="14" t="s">
        <v>127</v>
      </c>
      <c r="E19" s="12">
        <v>5</v>
      </c>
      <c r="F19" s="12" t="s">
        <v>148</v>
      </c>
      <c r="G19" s="12" t="s">
        <v>65</v>
      </c>
      <c r="H19" s="12" t="s">
        <v>140</v>
      </c>
    </row>
    <row r="20" spans="1:8" ht="25.5" x14ac:dyDescent="0.25">
      <c r="A20" s="12" t="s">
        <v>171</v>
      </c>
      <c r="B20" s="12" t="s">
        <v>172</v>
      </c>
      <c r="C20" s="12" t="s">
        <v>173</v>
      </c>
      <c r="D20" s="14" t="s">
        <v>127</v>
      </c>
      <c r="E20" s="12">
        <v>8</v>
      </c>
      <c r="F20" s="12" t="s">
        <v>131</v>
      </c>
      <c r="G20" s="12" t="s">
        <v>65</v>
      </c>
      <c r="H20" s="12" t="s">
        <v>57</v>
      </c>
    </row>
    <row r="21" spans="1:8" ht="25.5" x14ac:dyDescent="0.25">
      <c r="A21" s="12" t="s">
        <v>174</v>
      </c>
      <c r="B21" s="12" t="s">
        <v>172</v>
      </c>
      <c r="C21" s="12" t="s">
        <v>175</v>
      </c>
      <c r="D21" s="14" t="s">
        <v>127</v>
      </c>
      <c r="E21" s="12">
        <v>8</v>
      </c>
      <c r="F21" s="12" t="s">
        <v>131</v>
      </c>
      <c r="G21" s="12" t="s">
        <v>71</v>
      </c>
      <c r="H21" s="12" t="s">
        <v>76</v>
      </c>
    </row>
    <row r="22" spans="1:8" ht="25.5" x14ac:dyDescent="0.25">
      <c r="A22" s="12" t="s">
        <v>176</v>
      </c>
      <c r="B22" s="12" t="s">
        <v>172</v>
      </c>
      <c r="C22" s="12" t="s">
        <v>177</v>
      </c>
      <c r="D22" s="14" t="s">
        <v>127</v>
      </c>
      <c r="E22" s="12">
        <v>5</v>
      </c>
      <c r="F22" s="12" t="s">
        <v>131</v>
      </c>
      <c r="G22" s="12" t="s">
        <v>71</v>
      </c>
      <c r="H22" s="12" t="s">
        <v>140</v>
      </c>
    </row>
    <row r="23" spans="1:8" ht="25.5" x14ac:dyDescent="0.25">
      <c r="A23" s="12" t="s">
        <v>178</v>
      </c>
      <c r="B23" s="12" t="s">
        <v>172</v>
      </c>
      <c r="C23" s="12" t="s">
        <v>179</v>
      </c>
      <c r="D23" s="14" t="s">
        <v>127</v>
      </c>
      <c r="E23" s="12">
        <v>5</v>
      </c>
      <c r="F23" s="12" t="s">
        <v>148</v>
      </c>
      <c r="G23" s="12" t="s">
        <v>71</v>
      </c>
      <c r="H23" s="12" t="s">
        <v>140</v>
      </c>
    </row>
    <row r="24" spans="1:8" ht="25.5" x14ac:dyDescent="0.25">
      <c r="A24" s="12" t="s">
        <v>180</v>
      </c>
      <c r="B24" s="12" t="s">
        <v>181</v>
      </c>
      <c r="C24" s="12" t="s">
        <v>182</v>
      </c>
      <c r="D24" s="14" t="s">
        <v>127</v>
      </c>
      <c r="E24" s="12">
        <v>13</v>
      </c>
      <c r="F24" s="12" t="s">
        <v>131</v>
      </c>
      <c r="G24" s="12" t="s">
        <v>77</v>
      </c>
      <c r="H24" s="12" t="s">
        <v>63</v>
      </c>
    </row>
    <row r="25" spans="1:8" ht="25.5" x14ac:dyDescent="0.25">
      <c r="A25" s="12" t="s">
        <v>183</v>
      </c>
      <c r="B25" s="12" t="s">
        <v>181</v>
      </c>
      <c r="C25" s="12" t="s">
        <v>184</v>
      </c>
      <c r="D25" s="14" t="s">
        <v>127</v>
      </c>
      <c r="E25" s="12">
        <v>8</v>
      </c>
      <c r="F25" s="12" t="s">
        <v>131</v>
      </c>
      <c r="G25" s="12" t="s">
        <v>77</v>
      </c>
      <c r="H25" s="12" t="s">
        <v>51</v>
      </c>
    </row>
    <row r="26" spans="1:8" ht="25.5" x14ac:dyDescent="0.25">
      <c r="A26" s="12" t="s">
        <v>185</v>
      </c>
      <c r="B26" s="12" t="s">
        <v>181</v>
      </c>
      <c r="C26" s="12" t="s">
        <v>186</v>
      </c>
      <c r="D26" s="14" t="s">
        <v>127</v>
      </c>
      <c r="E26" s="12">
        <v>8</v>
      </c>
      <c r="F26" s="12" t="s">
        <v>148</v>
      </c>
      <c r="G26" s="12" t="s">
        <v>77</v>
      </c>
      <c r="H26" s="12" t="s">
        <v>140</v>
      </c>
    </row>
    <row r="27" spans="1:8" ht="25.5" x14ac:dyDescent="0.25">
      <c r="A27" s="12" t="s">
        <v>187</v>
      </c>
      <c r="B27" s="12" t="s">
        <v>181</v>
      </c>
      <c r="C27" s="12" t="s">
        <v>188</v>
      </c>
      <c r="D27" s="14" t="s">
        <v>127</v>
      </c>
      <c r="E27" s="12">
        <v>8</v>
      </c>
      <c r="F27" s="12" t="s">
        <v>131</v>
      </c>
      <c r="G27" s="12" t="s">
        <v>84</v>
      </c>
      <c r="H27" s="12" t="s">
        <v>63</v>
      </c>
    </row>
    <row r="28" spans="1:8" ht="25.5" x14ac:dyDescent="0.25">
      <c r="A28" s="12" t="s">
        <v>189</v>
      </c>
      <c r="B28" s="12" t="s">
        <v>181</v>
      </c>
      <c r="C28" s="12" t="s">
        <v>190</v>
      </c>
      <c r="D28" s="15" t="s">
        <v>138</v>
      </c>
      <c r="E28" s="12">
        <v>5</v>
      </c>
      <c r="F28" s="12" t="s">
        <v>131</v>
      </c>
      <c r="G28" s="12" t="s">
        <v>84</v>
      </c>
      <c r="H28" s="12" t="s">
        <v>140</v>
      </c>
    </row>
    <row r="29" spans="1:8" ht="25.5" x14ac:dyDescent="0.25">
      <c r="A29" s="12" t="s">
        <v>191</v>
      </c>
      <c r="B29" s="12" t="s">
        <v>192</v>
      </c>
      <c r="C29" s="12" t="s">
        <v>193</v>
      </c>
      <c r="D29" s="14" t="s">
        <v>127</v>
      </c>
      <c r="E29" s="12">
        <v>8</v>
      </c>
      <c r="F29" s="12" t="s">
        <v>131</v>
      </c>
      <c r="G29" s="12" t="s">
        <v>90</v>
      </c>
      <c r="H29" s="12" t="s">
        <v>76</v>
      </c>
    </row>
    <row r="30" spans="1:8" ht="25.5" x14ac:dyDescent="0.25">
      <c r="A30" s="12" t="s">
        <v>194</v>
      </c>
      <c r="B30" s="12" t="s">
        <v>192</v>
      </c>
      <c r="C30" s="12" t="s">
        <v>195</v>
      </c>
      <c r="D30" s="15" t="s">
        <v>138</v>
      </c>
      <c r="E30" s="12">
        <v>5</v>
      </c>
      <c r="F30" s="12" t="s">
        <v>148</v>
      </c>
      <c r="G30" s="12" t="s">
        <v>90</v>
      </c>
      <c r="H30" s="12" t="s">
        <v>140</v>
      </c>
    </row>
    <row r="31" spans="1:8" ht="25.5" x14ac:dyDescent="0.25">
      <c r="A31" s="12" t="s">
        <v>196</v>
      </c>
      <c r="B31" s="12" t="s">
        <v>197</v>
      </c>
      <c r="C31" s="12" t="s">
        <v>198</v>
      </c>
      <c r="D31" s="14" t="s">
        <v>127</v>
      </c>
      <c r="E31" s="12">
        <v>5</v>
      </c>
      <c r="F31" s="12" t="s">
        <v>131</v>
      </c>
      <c r="G31" s="12" t="s">
        <v>90</v>
      </c>
      <c r="H31" s="12" t="s">
        <v>140</v>
      </c>
    </row>
    <row r="32" spans="1:8" ht="25.5" x14ac:dyDescent="0.25">
      <c r="A32" s="12" t="s">
        <v>199</v>
      </c>
      <c r="B32" s="12" t="s">
        <v>197</v>
      </c>
      <c r="C32" s="12" t="s">
        <v>200</v>
      </c>
      <c r="D32" s="14" t="s">
        <v>127</v>
      </c>
      <c r="E32" s="12">
        <v>5</v>
      </c>
      <c r="F32" s="12" t="s">
        <v>131</v>
      </c>
      <c r="G32" s="12" t="s">
        <v>90</v>
      </c>
      <c r="H32" s="12" t="s">
        <v>140</v>
      </c>
    </row>
    <row r="33" spans="1:8" ht="38.25" x14ac:dyDescent="0.25">
      <c r="A33" s="12" t="s">
        <v>201</v>
      </c>
      <c r="B33" s="12" t="s">
        <v>197</v>
      </c>
      <c r="C33" s="12" t="s">
        <v>202</v>
      </c>
      <c r="D33" s="14" t="s">
        <v>127</v>
      </c>
      <c r="E33" s="12">
        <v>5</v>
      </c>
      <c r="F33" s="12" t="s">
        <v>131</v>
      </c>
      <c r="G33" s="12" t="s">
        <v>90</v>
      </c>
      <c r="H33" s="12" t="s">
        <v>63</v>
      </c>
    </row>
    <row r="34" spans="1:8" ht="25.5" x14ac:dyDescent="0.25">
      <c r="A34" s="12" t="s">
        <v>203</v>
      </c>
      <c r="B34" s="12" t="s">
        <v>204</v>
      </c>
      <c r="C34" s="12" t="s">
        <v>205</v>
      </c>
      <c r="D34" s="14" t="s">
        <v>127</v>
      </c>
      <c r="E34" s="12">
        <v>8</v>
      </c>
      <c r="F34" s="12" t="s">
        <v>131</v>
      </c>
      <c r="G34" s="12" t="s">
        <v>95</v>
      </c>
      <c r="H34" s="12" t="s">
        <v>76</v>
      </c>
    </row>
    <row r="35" spans="1:8" ht="25.5" x14ac:dyDescent="0.25">
      <c r="A35" s="12" t="s">
        <v>206</v>
      </c>
      <c r="B35" s="12" t="s">
        <v>204</v>
      </c>
      <c r="C35" s="12" t="s">
        <v>207</v>
      </c>
      <c r="D35" s="15" t="s">
        <v>138</v>
      </c>
      <c r="E35" s="12">
        <v>8</v>
      </c>
      <c r="F35" s="12" t="s">
        <v>208</v>
      </c>
      <c r="G35" s="12" t="s">
        <v>95</v>
      </c>
      <c r="H35" s="12" t="s">
        <v>76</v>
      </c>
    </row>
    <row r="36" spans="1:8" ht="25.5" x14ac:dyDescent="0.25">
      <c r="A36" s="12" t="s">
        <v>209</v>
      </c>
      <c r="B36" s="12" t="s">
        <v>204</v>
      </c>
      <c r="C36" s="12" t="s">
        <v>210</v>
      </c>
      <c r="D36" s="16" t="s">
        <v>211</v>
      </c>
      <c r="E36" s="12">
        <v>5</v>
      </c>
      <c r="F36" s="12" t="s">
        <v>148</v>
      </c>
      <c r="G36" s="12" t="s">
        <v>95</v>
      </c>
      <c r="H36" s="12" t="s">
        <v>140</v>
      </c>
    </row>
    <row r="37" spans="1:8" ht="25.5" x14ac:dyDescent="0.25">
      <c r="A37" s="12" t="s">
        <v>212</v>
      </c>
      <c r="B37" s="12" t="s">
        <v>213</v>
      </c>
      <c r="C37" s="12" t="s">
        <v>214</v>
      </c>
      <c r="D37" s="15" t="s">
        <v>138</v>
      </c>
      <c r="E37" s="12">
        <v>5</v>
      </c>
      <c r="F37" s="12" t="s">
        <v>208</v>
      </c>
      <c r="G37" s="12" t="s">
        <v>65</v>
      </c>
      <c r="H37" s="12" t="s">
        <v>140</v>
      </c>
    </row>
    <row r="38" spans="1:8" ht="25.5" x14ac:dyDescent="0.25">
      <c r="A38" s="12" t="s">
        <v>215</v>
      </c>
      <c r="B38" s="12" t="s">
        <v>213</v>
      </c>
      <c r="C38" s="12" t="s">
        <v>216</v>
      </c>
      <c r="D38" s="15" t="s">
        <v>138</v>
      </c>
      <c r="E38" s="12">
        <v>8</v>
      </c>
      <c r="F38" s="12" t="s">
        <v>208</v>
      </c>
      <c r="G38" s="12" t="s">
        <v>95</v>
      </c>
      <c r="H38" s="12" t="s">
        <v>140</v>
      </c>
    </row>
    <row r="39" spans="1:8" ht="25.5" x14ac:dyDescent="0.25">
      <c r="A39" s="12" t="s">
        <v>217</v>
      </c>
      <c r="B39" s="12" t="s">
        <v>218</v>
      </c>
      <c r="C39" s="12" t="s">
        <v>219</v>
      </c>
      <c r="D39" s="14" t="s">
        <v>127</v>
      </c>
      <c r="E39" s="12">
        <v>8</v>
      </c>
      <c r="F39" s="12" t="s">
        <v>131</v>
      </c>
      <c r="G39" s="12" t="s">
        <v>100</v>
      </c>
      <c r="H39" s="12" t="s">
        <v>76</v>
      </c>
    </row>
    <row r="40" spans="1:8" ht="25.5" x14ac:dyDescent="0.25">
      <c r="A40" s="12" t="s">
        <v>220</v>
      </c>
      <c r="B40" s="12" t="s">
        <v>218</v>
      </c>
      <c r="C40" s="12" t="s">
        <v>221</v>
      </c>
      <c r="D40" s="14" t="s">
        <v>127</v>
      </c>
      <c r="E40" s="12">
        <v>5</v>
      </c>
      <c r="F40" s="12" t="s">
        <v>131</v>
      </c>
      <c r="G40" s="12" t="s">
        <v>100</v>
      </c>
      <c r="H40" s="12" t="s">
        <v>51</v>
      </c>
    </row>
    <row r="41" spans="1:8" ht="25.5" x14ac:dyDescent="0.25">
      <c r="A41" s="12" t="s">
        <v>222</v>
      </c>
      <c r="B41" s="12" t="s">
        <v>218</v>
      </c>
      <c r="C41" s="12" t="s">
        <v>223</v>
      </c>
      <c r="D41" s="14" t="s">
        <v>127</v>
      </c>
      <c r="E41" s="12">
        <v>8</v>
      </c>
      <c r="F41" s="12" t="s">
        <v>128</v>
      </c>
      <c r="G41" s="12" t="s">
        <v>100</v>
      </c>
      <c r="H41" s="12" t="s">
        <v>51</v>
      </c>
    </row>
    <row r="42" spans="1:8" ht="25.5" x14ac:dyDescent="0.25">
      <c r="A42" s="12" t="s">
        <v>224</v>
      </c>
      <c r="B42" s="12" t="s">
        <v>225</v>
      </c>
      <c r="C42" s="12" t="s">
        <v>226</v>
      </c>
      <c r="D42" s="14" t="s">
        <v>127</v>
      </c>
      <c r="E42" s="12">
        <v>13</v>
      </c>
      <c r="F42" s="12" t="s">
        <v>70</v>
      </c>
      <c r="G42" s="12" t="s">
        <v>106</v>
      </c>
      <c r="H42" s="12" t="s">
        <v>76</v>
      </c>
    </row>
    <row r="43" spans="1:8" ht="25.5" x14ac:dyDescent="0.25">
      <c r="A43" s="12" t="s">
        <v>227</v>
      </c>
      <c r="B43" s="12" t="s">
        <v>225</v>
      </c>
      <c r="C43" s="12" t="s">
        <v>228</v>
      </c>
      <c r="D43" s="14" t="s">
        <v>127</v>
      </c>
      <c r="E43" s="12">
        <v>5</v>
      </c>
      <c r="F43" s="12" t="s">
        <v>15</v>
      </c>
      <c r="G43" s="12" t="s">
        <v>106</v>
      </c>
      <c r="H43" s="12" t="s">
        <v>140</v>
      </c>
    </row>
    <row r="44" spans="1:8" ht="25.5" x14ac:dyDescent="0.25">
      <c r="A44" s="12" t="s">
        <v>229</v>
      </c>
      <c r="B44" s="12" t="s">
        <v>225</v>
      </c>
      <c r="C44" s="12" t="s">
        <v>230</v>
      </c>
      <c r="D44" s="14" t="s">
        <v>127</v>
      </c>
      <c r="E44" s="12">
        <v>8</v>
      </c>
      <c r="F44" s="12" t="s">
        <v>128</v>
      </c>
      <c r="G44" s="12" t="s">
        <v>112</v>
      </c>
      <c r="H44" s="12" t="s">
        <v>231</v>
      </c>
    </row>
    <row r="45" spans="1:8" ht="38.25" x14ac:dyDescent="0.25">
      <c r="A45" s="12" t="s">
        <v>232</v>
      </c>
      <c r="B45" s="12" t="s">
        <v>225</v>
      </c>
      <c r="C45" s="12" t="s">
        <v>233</v>
      </c>
      <c r="D45" s="14" t="s">
        <v>127</v>
      </c>
      <c r="E45" s="12">
        <v>8</v>
      </c>
      <c r="F45" s="12" t="s">
        <v>128</v>
      </c>
      <c r="G45" s="12" t="s">
        <v>112</v>
      </c>
      <c r="H45" s="12" t="s">
        <v>140</v>
      </c>
    </row>
    <row r="47" spans="1:8" x14ac:dyDescent="0.25">
      <c r="C47" s="4" t="s">
        <v>234</v>
      </c>
      <c r="E47" s="4">
        <f>SUM(E2:E45)</f>
        <v>282</v>
      </c>
    </row>
    <row r="48" spans="1:8" x14ac:dyDescent="0.25">
      <c r="C48" s="3" t="s">
        <v>235</v>
      </c>
      <c r="E48" s="3">
        <f>COUNTIF(D2:D45,"Alta")</f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Roadmap</vt:lpstr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Gutierrez Chavez</cp:lastModifiedBy>
  <cp:revision>0</cp:revision>
  <dcterms:created xsi:type="dcterms:W3CDTF">2026-08-27T04:21:35Z</dcterms:created>
  <dcterms:modified xsi:type="dcterms:W3CDTF">2026-08-27T15:28:06Z</dcterms:modified>
  <dc:language>en-US</dc:language>
</cp:coreProperties>
</file>